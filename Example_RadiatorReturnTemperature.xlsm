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4240" windowHeight="13740"/>
  </bookViews>
  <sheets>
    <sheet name="Performance of Radiator" sheetId="1" r:id="rId1"/>
  </sheets>
  <functionGroups builtInGroupCount="17"/>
  <externalReferences>
    <externalReference r:id="rId2"/>
  </externalReferences>
  <definedNames>
    <definedName name="Abs_Rough_AluFlex">'[1]Pipe Catalog'!$U$2</definedName>
    <definedName name="Abs_Rough_TwinP">'[1]Pipe Catalog'!$U$3</definedName>
    <definedName name="CIFel">[1]Heat!$C$17</definedName>
    <definedName name="CIFh">[1]Heat!$C$18</definedName>
    <definedName name="HotWater">'[1]DH Network'!$G$5</definedName>
    <definedName name="PD_Network">'[1]DH Network'!$B$20</definedName>
    <definedName name="SpaceHeat">'[1]DH Network'!$G$4</definedName>
    <definedName name="T_ground">'[1]DH Network'!$B$15</definedName>
    <definedName name="T_Mean">'[1]DH Network'!$B$11</definedName>
    <definedName name="T_preturn">'[1]DH Network'!$B$8</definedName>
    <definedName name="T_psupply">'[1]DH Network'!$B$7</definedName>
    <definedName name="T_return">'[1]DH Network'!$B$10</definedName>
    <definedName name="T_supply">'[1]DH Network'!$B$9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1" i="1" l="1"/>
  <c r="C10" i="1"/>
  <c r="G10" i="1" s="1"/>
  <c r="C9" i="1"/>
  <c r="C6" i="1"/>
  <c r="G11" i="1"/>
  <c r="G9" i="1" l="1"/>
  <c r="G13" i="1"/>
</calcChain>
</file>

<file path=xl/sharedStrings.xml><?xml version="1.0" encoding="utf-8"?>
<sst xmlns="http://schemas.openxmlformats.org/spreadsheetml/2006/main" count="45" uniqueCount="31">
  <si>
    <t>DESIGN CONDITION</t>
  </si>
  <si>
    <t>Ts_o</t>
  </si>
  <si>
    <t>°C</t>
  </si>
  <si>
    <t>kW</t>
  </si>
  <si>
    <t>Tr_o</t>
  </si>
  <si>
    <t>Ta</t>
  </si>
  <si>
    <t>n</t>
  </si>
  <si>
    <t>GMTD_o</t>
  </si>
  <si>
    <t>AMTD_o</t>
  </si>
  <si>
    <t>LMTD_o</t>
  </si>
  <si>
    <t>Mass Flow (Radiator)</t>
  </si>
  <si>
    <t>kg/s</t>
  </si>
  <si>
    <t>Ref: Gary Phetteplace - Optimal design of piping systems for district heating</t>
  </si>
  <si>
    <t xml:space="preserve">https://permanent.access.gpo.gov/websites/armymil/www.crrel.usace.army.mil/techpub/CRREL_Reports/reports/cr95_17.pdf </t>
  </si>
  <si>
    <t>-</t>
  </si>
  <si>
    <t>ACTUAL CONDITION</t>
  </si>
  <si>
    <t xml:space="preserve">Mean Temperature Difference </t>
  </si>
  <si>
    <t>Radiator Heat Output</t>
  </si>
  <si>
    <t>Supply Temperature</t>
  </si>
  <si>
    <t>Return Temperature</t>
  </si>
  <si>
    <t>Indoor Temperature</t>
  </si>
  <si>
    <t>Emprical radiator constant</t>
  </si>
  <si>
    <t xml:space="preserve">q_o </t>
  </si>
  <si>
    <t xml:space="preserve">q_2 </t>
  </si>
  <si>
    <t xml:space="preserve">Ts_2 </t>
  </si>
  <si>
    <t>Ta_2</t>
  </si>
  <si>
    <t>Return Temperature (Calculation RESULT!)</t>
  </si>
  <si>
    <t>Tr_2 (based on GMTD)</t>
  </si>
  <si>
    <t>Tr_2 (based on AMTD)</t>
  </si>
  <si>
    <t>Tr_2 (based on LMTD)</t>
  </si>
  <si>
    <t>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</si>
</sst>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252525"/>
      <name val="Arial"/>
      <family val="2"/>
    </font>
    <font>
      <i/>
      <sz val="8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52525"/>
      <name val="Arial"/>
      <family val="2"/>
    </font>
    <font>
      <sz val="11"/>
      <color rgb="FF252525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rgb="FFFA7D00"/>
      <name val="Calibri"/>
      <family val="2"/>
      <scheme val="minor"/>
    </font>
    <font>
      <b/>
      <sz val="16"/>
      <color rgb="FF252525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1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0" fontId="3" fillId="0" borderId="0" applyNumberFormat="0" applyFill="0" applyBorder="0" applyAlignment="0" applyProtection="0"/>
    <xf numFmtId="0" fontId="7" fillId="4" borderId="3" applyNumberFormat="0" applyFont="0" applyAlignment="0" applyProtection="0"/>
    <xf numFmtId="0" fontId="8" fillId="0" borderId="0" applyNumberFormat="0" applyFill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10" fillId="0" borderId="0" applyNumberFormat="0" applyFill="0" applyBorder="0" applyAlignment="0" applyProtection="0"/>
  </cellStyleXfs>
  <cellXfs count="34">
    <xf numFmtId="0" fontId="0" fillId="0" borderId="0" xfId="0"/>
    <xf numFmtId="2" fontId="0" fillId="0" borderId="0" xfId="0" applyNumberFormat="1" applyBorder="1"/>
    <xf numFmtId="2" fontId="0" fillId="0" borderId="0" xfId="0" applyNumberFormat="1"/>
    <xf numFmtId="1" fontId="0" fillId="0" borderId="0" xfId="0" applyNumberFormat="1"/>
    <xf numFmtId="11" fontId="0" fillId="0" borderId="0" xfId="0" applyNumberFormat="1"/>
    <xf numFmtId="0" fontId="3" fillId="0" borderId="0" xfId="3" applyAlignment="1"/>
    <xf numFmtId="0" fontId="6" fillId="0" borderId="0" xfId="0" applyFont="1"/>
    <xf numFmtId="0" fontId="3" fillId="0" borderId="0" xfId="3" applyAlignment="1">
      <alignment horizontal="left" wrapText="1"/>
    </xf>
    <xf numFmtId="0" fontId="10" fillId="0" borderId="0" xfId="10" applyAlignment="1">
      <alignment horizontal="left" wrapText="1"/>
    </xf>
    <xf numFmtId="0" fontId="7" fillId="4" borderId="3" xfId="4" applyFont="1"/>
    <xf numFmtId="0" fontId="11" fillId="4" borderId="3" xfId="4" applyFont="1"/>
    <xf numFmtId="0" fontId="9" fillId="5" borderId="0" xfId="6" applyAlignment="1">
      <alignment horizontal="center"/>
    </xf>
    <xf numFmtId="0" fontId="1" fillId="2" borderId="5" xfId="1" applyBorder="1"/>
    <xf numFmtId="0" fontId="9" fillId="8" borderId="4" xfId="9" applyBorder="1"/>
    <xf numFmtId="0" fontId="9" fillId="7" borderId="4" xfId="8" applyBorder="1" applyAlignment="1">
      <alignment horizontal="center"/>
    </xf>
    <xf numFmtId="0" fontId="1" fillId="2" borderId="4" xfId="1" applyBorder="1"/>
    <xf numFmtId="0" fontId="12" fillId="4" borderId="4" xfId="4" applyFont="1" applyBorder="1"/>
    <xf numFmtId="0" fontId="12" fillId="4" borderId="4" xfId="4" quotePrefix="1" applyFont="1" applyBorder="1"/>
    <xf numFmtId="0" fontId="0" fillId="0" borderId="0" xfId="0" applyAlignment="1"/>
    <xf numFmtId="2" fontId="2" fillId="3" borderId="4" xfId="2" applyNumberFormat="1" applyBorder="1"/>
    <xf numFmtId="0" fontId="7" fillId="4" borderId="4" xfId="4" applyFont="1" applyBorder="1"/>
    <xf numFmtId="0" fontId="9" fillId="7" borderId="2" xfId="8" applyBorder="1" applyAlignment="1">
      <alignment horizontal="center"/>
    </xf>
    <xf numFmtId="0" fontId="9" fillId="6" borderId="4" xfId="7" applyBorder="1"/>
    <xf numFmtId="0" fontId="9" fillId="6" borderId="4" xfId="7" quotePrefix="1" applyBorder="1"/>
    <xf numFmtId="0" fontId="1" fillId="2" borderId="1" xfId="1" quotePrefix="1"/>
    <xf numFmtId="0" fontId="7" fillId="4" borderId="3" xfId="4" quotePrefix="1" applyFont="1"/>
    <xf numFmtId="0" fontId="5" fillId="4" borderId="4" xfId="4" applyFont="1" applyBorder="1"/>
    <xf numFmtId="0" fontId="13" fillId="6" borderId="4" xfId="7" applyFont="1" applyBorder="1"/>
    <xf numFmtId="2" fontId="14" fillId="3" borderId="4" xfId="2" applyNumberFormat="1" applyFont="1" applyBorder="1"/>
    <xf numFmtId="0" fontId="15" fillId="4" borderId="4" xfId="4" applyFont="1" applyBorder="1"/>
    <xf numFmtId="2" fontId="9" fillId="6" borderId="4" xfId="7" applyNumberFormat="1" applyBorder="1"/>
    <xf numFmtId="11" fontId="2" fillId="3" borderId="4" xfId="2" applyNumberFormat="1" applyBorder="1"/>
    <xf numFmtId="0" fontId="4" fillId="4" borderId="4" xfId="4" applyFont="1" applyBorder="1" applyAlignment="1">
      <alignment horizontal="left"/>
    </xf>
    <xf numFmtId="0" fontId="8" fillId="0" borderId="4" xfId="5" applyBorder="1"/>
  </cellXfs>
  <cellStyles count="11">
    <cellStyle name="60% - Accent5" xfId="7" builtinId="48"/>
    <cellStyle name="60% - Accent6" xfId="9" builtinId="52"/>
    <cellStyle name="Accent5" xfId="6" builtinId="45"/>
    <cellStyle name="Accent6" xfId="8" builtinId="49"/>
    <cellStyle name="Calculation" xfId="2" builtinId="22"/>
    <cellStyle name="Explanatory Text" xfId="5" builtinId="53"/>
    <cellStyle name="Hyperlink" xfId="10" builtinId="8"/>
    <cellStyle name="Input" xfId="1" builtinId="20"/>
    <cellStyle name="Normal" xfId="0" builtinId="0"/>
    <cellStyle name="Note" xfId="4" builtinId="10"/>
    <cellStyle name="Warning Text" xfId="3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21431</xdr:colOff>
      <xdr:row>17</xdr:row>
      <xdr:rowOff>159543</xdr:rowOff>
    </xdr:from>
    <xdr:to>
      <xdr:col>4</xdr:col>
      <xdr:colOff>23811</xdr:colOff>
      <xdr:row>23</xdr:row>
      <xdr:rowOff>16668</xdr:rowOff>
    </xdr:to>
    <xdr:pic>
      <xdr:nvPicPr>
        <xdr:cNvPr id="2" name="Picture 1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330"/>
        <a:stretch/>
      </xdr:blipFill>
      <xdr:spPr bwMode="auto">
        <a:xfrm>
          <a:off x="21431" y="3493293"/>
          <a:ext cx="4907755" cy="1000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21431</xdr:colOff>
      <xdr:row>23</xdr:row>
      <xdr:rowOff>109537</xdr:rowOff>
    </xdr:from>
    <xdr:to>
      <xdr:col>3</xdr:col>
      <xdr:colOff>228600</xdr:colOff>
      <xdr:row>26</xdr:row>
      <xdr:rowOff>100012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431" y="4586287"/>
          <a:ext cx="4505325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21431</xdr:colOff>
      <xdr:row>26</xdr:row>
      <xdr:rowOff>183357</xdr:rowOff>
    </xdr:from>
    <xdr:to>
      <xdr:col>4</xdr:col>
      <xdr:colOff>416718</xdr:colOff>
      <xdr:row>29</xdr:row>
      <xdr:rowOff>11907</xdr:rowOff>
    </xdr:to>
    <xdr:pic>
      <xdr:nvPicPr>
        <xdr:cNvPr id="4" name="Picture 3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511" b="6666"/>
        <a:stretch/>
      </xdr:blipFill>
      <xdr:spPr bwMode="auto">
        <a:xfrm>
          <a:off x="21431" y="5231607"/>
          <a:ext cx="5300662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21431</xdr:colOff>
      <xdr:row>29</xdr:row>
      <xdr:rowOff>16668</xdr:rowOff>
    </xdr:from>
    <xdr:to>
      <xdr:col>5</xdr:col>
      <xdr:colOff>838199</xdr:colOff>
      <xdr:row>33</xdr:row>
      <xdr:rowOff>73818</xdr:rowOff>
    </xdr:to>
    <xdr:pic>
      <xdr:nvPicPr>
        <xdr:cNvPr id="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431" y="5636418"/>
          <a:ext cx="6329362" cy="81915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01-VITO/20151119%20-%20Reducing%20Return%20Temperature%20(RETOUR)/01-Analysis/z%20Related%20Previous%20Works/111006%20-%20Gladsaxe%20-%20Case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Heat Loss Coefficient"/>
      <sheetName val="Pipe Catalog"/>
      <sheetName val="Simultaneity Factor"/>
      <sheetName val="DH Network"/>
      <sheetName val="Pipe List of Network"/>
      <sheetName val="Sizing Pipes"/>
      <sheetName val="Press Grad - CriticalRoute"/>
      <sheetName val="Press Grad - MultiRoute"/>
      <sheetName val="Press Grad - MR (Boosted)"/>
      <sheetName val="Optimization - 2"/>
      <sheetName val="Optimization - 1"/>
      <sheetName val="Optimization - Boosted 1"/>
      <sheetName val="Optimization - CS-unBoosted"/>
      <sheetName val="Optimization - Boosted 2"/>
      <sheetName val="Pipe Results"/>
      <sheetName val="Sheet1"/>
      <sheetName val="Pump"/>
      <sheetName val="Heat"/>
      <sheetName val="Operating Costs"/>
      <sheetName val="z XSteam"/>
      <sheetName val="Annual Heat"/>
      <sheetName val="Press Grad - Boost-Calc"/>
    </sheetNames>
    <sheetDataSet>
      <sheetData sheetId="0"/>
      <sheetData sheetId="1"/>
      <sheetData sheetId="2">
        <row r="2">
          <cell r="U2">
            <v>0.01</v>
          </cell>
        </row>
        <row r="3">
          <cell r="U3">
            <v>0.1</v>
          </cell>
        </row>
      </sheetData>
      <sheetData sheetId="3"/>
      <sheetData sheetId="4">
        <row r="4">
          <cell r="G4">
            <v>2.9</v>
          </cell>
        </row>
        <row r="5">
          <cell r="G5">
            <v>2.9899999999999998</v>
          </cell>
        </row>
        <row r="7">
          <cell r="B7">
            <v>65</v>
          </cell>
        </row>
        <row r="8">
          <cell r="B8">
            <v>22.5</v>
          </cell>
        </row>
        <row r="9">
          <cell r="B9">
            <v>55</v>
          </cell>
        </row>
        <row r="10">
          <cell r="B10">
            <v>25</v>
          </cell>
        </row>
        <row r="11">
          <cell r="B11">
            <v>40</v>
          </cell>
        </row>
        <row r="15">
          <cell r="B15">
            <v>2</v>
          </cell>
        </row>
        <row r="20">
          <cell r="B20">
            <v>4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7">
          <cell r="C17">
            <v>1.1048605970885765</v>
          </cell>
        </row>
        <row r="18">
          <cell r="C18">
            <v>1.0170575226083343</v>
          </cell>
        </row>
      </sheetData>
      <sheetData sheetId="19"/>
      <sheetData sheetId="20"/>
      <sheetData sheetId="21"/>
      <sheetData sheetId="2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ermanent.access.gpo.gov/websites/armymil/www.crrel.usace.army.mil/techpub/CRREL_Reports/reports/cr95_17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59"/>
  <sheetViews>
    <sheetView tabSelected="1" zoomScale="80" zoomScaleNormal="80" workbookViewId="0">
      <selection activeCell="G26" sqref="G26"/>
    </sheetView>
  </sheetViews>
  <sheetFormatPr defaultRowHeight="15" x14ac:dyDescent="0.25"/>
  <cols>
    <col min="1" max="2" width="27.7109375" bestFit="1" customWidth="1"/>
    <col min="6" max="6" width="29.85546875" bestFit="1" customWidth="1"/>
    <col min="7" max="7" width="13.5703125" bestFit="1" customWidth="1"/>
    <col min="8" max="8" width="10" customWidth="1"/>
    <col min="10" max="10" width="11.28515625" bestFit="1" customWidth="1"/>
  </cols>
  <sheetData>
    <row r="1" spans="1:13" x14ac:dyDescent="0.25">
      <c r="A1" t="s">
        <v>30</v>
      </c>
      <c r="B1" s="14" t="s">
        <v>0</v>
      </c>
      <c r="C1" s="14"/>
      <c r="D1" s="14"/>
      <c r="F1" s="11" t="s">
        <v>15</v>
      </c>
      <c r="G1" s="11"/>
      <c r="H1" s="11"/>
    </row>
    <row r="2" spans="1:13" x14ac:dyDescent="0.25">
      <c r="A2" s="33" t="s">
        <v>17</v>
      </c>
      <c r="B2" s="13" t="s">
        <v>22</v>
      </c>
      <c r="C2" s="15">
        <v>9</v>
      </c>
      <c r="D2" s="16" t="s">
        <v>3</v>
      </c>
      <c r="F2" s="22" t="s">
        <v>23</v>
      </c>
      <c r="G2" s="12">
        <v>5</v>
      </c>
      <c r="H2" s="9" t="s">
        <v>3</v>
      </c>
      <c r="I2" s="1"/>
      <c r="K2" s="2"/>
    </row>
    <row r="3" spans="1:13" x14ac:dyDescent="0.25">
      <c r="A3" s="33" t="s">
        <v>18</v>
      </c>
      <c r="B3" s="13" t="s">
        <v>1</v>
      </c>
      <c r="C3" s="15">
        <v>90</v>
      </c>
      <c r="D3" s="16" t="s">
        <v>2</v>
      </c>
      <c r="F3" s="22" t="s">
        <v>24</v>
      </c>
      <c r="G3" s="12">
        <v>80</v>
      </c>
      <c r="H3" s="10" t="s">
        <v>2</v>
      </c>
      <c r="K3" s="2"/>
    </row>
    <row r="4" spans="1:13" x14ac:dyDescent="0.25">
      <c r="A4" s="33" t="s">
        <v>19</v>
      </c>
      <c r="B4" s="13" t="s">
        <v>4</v>
      </c>
      <c r="C4" s="15">
        <v>70</v>
      </c>
      <c r="D4" s="16" t="s">
        <v>2</v>
      </c>
      <c r="F4" s="23" t="s">
        <v>14</v>
      </c>
      <c r="G4" s="24" t="s">
        <v>14</v>
      </c>
      <c r="H4" s="25" t="s">
        <v>14</v>
      </c>
      <c r="K4" s="2"/>
    </row>
    <row r="5" spans="1:13" x14ac:dyDescent="0.25">
      <c r="A5" s="33" t="s">
        <v>20</v>
      </c>
      <c r="B5" s="13" t="s">
        <v>5</v>
      </c>
      <c r="C5" s="15">
        <v>20</v>
      </c>
      <c r="D5" s="16" t="s">
        <v>2</v>
      </c>
      <c r="F5" s="22" t="s">
        <v>25</v>
      </c>
      <c r="G5" s="12">
        <v>20</v>
      </c>
      <c r="H5" s="10" t="s">
        <v>2</v>
      </c>
    </row>
    <row r="6" spans="1:13" x14ac:dyDescent="0.25">
      <c r="A6" s="33" t="s">
        <v>21</v>
      </c>
      <c r="B6" s="13" t="s">
        <v>6</v>
      </c>
      <c r="C6" s="15">
        <f>1.3</f>
        <v>1.3</v>
      </c>
      <c r="D6" s="17" t="s">
        <v>14</v>
      </c>
      <c r="F6" s="18"/>
      <c r="G6" s="18"/>
      <c r="H6" s="18"/>
      <c r="K6" s="3"/>
    </row>
    <row r="7" spans="1:13" x14ac:dyDescent="0.25">
      <c r="K7" s="3"/>
    </row>
    <row r="8" spans="1:13" x14ac:dyDescent="0.25">
      <c r="B8" s="21" t="s">
        <v>16</v>
      </c>
      <c r="C8" s="21"/>
      <c r="D8" s="21"/>
      <c r="F8" s="11" t="s">
        <v>26</v>
      </c>
      <c r="G8" s="11"/>
      <c r="H8" s="11"/>
      <c r="K8" s="3"/>
    </row>
    <row r="9" spans="1:13" x14ac:dyDescent="0.25">
      <c r="B9" s="13" t="s">
        <v>7</v>
      </c>
      <c r="C9" s="19">
        <f>(C3-C5)^(1/2)*(C4-C5)^(1/2)</f>
        <v>59.160797830996167</v>
      </c>
      <c r="D9" s="20" t="s">
        <v>2</v>
      </c>
      <c r="F9" s="22" t="s">
        <v>27</v>
      </c>
      <c r="G9" s="19">
        <f>G5+((G3-G5)^(-1)*C9^2*(G2/C2)^(2/C6))</f>
        <v>43.615104027488222</v>
      </c>
      <c r="H9" s="26" t="s">
        <v>2</v>
      </c>
      <c r="K9" s="3"/>
    </row>
    <row r="10" spans="1:13" x14ac:dyDescent="0.25">
      <c r="B10" s="13" t="s">
        <v>8</v>
      </c>
      <c r="C10" s="19">
        <f>((C3-C5)+(C4-C5))/2</f>
        <v>60</v>
      </c>
      <c r="D10" s="20" t="s">
        <v>2</v>
      </c>
      <c r="F10" s="22" t="s">
        <v>28</v>
      </c>
      <c r="G10" s="19">
        <f>2*(G5+(C10*(G2/C2)^(1/1.3)))-G3</f>
        <v>36.351536385982101</v>
      </c>
      <c r="H10" s="26" t="s">
        <v>2</v>
      </c>
      <c r="K10" s="3"/>
    </row>
    <row r="11" spans="1:13" ht="21" x14ac:dyDescent="0.35">
      <c r="B11" s="13" t="s">
        <v>9</v>
      </c>
      <c r="C11" s="19">
        <f>(C3-C4)/LN((C3-C5)/(C4-C5))</f>
        <v>59.440268239769239</v>
      </c>
      <c r="D11" s="20" t="s">
        <v>2</v>
      </c>
      <c r="F11" s="27" t="s">
        <v>29</v>
      </c>
      <c r="G11" s="28">
        <f>TrLMTD(G9,G3,G5,G2,C2,C11,C6)</f>
        <v>42.512384998185041</v>
      </c>
      <c r="H11" s="29" t="s">
        <v>2</v>
      </c>
    </row>
    <row r="13" spans="1:13" x14ac:dyDescent="0.25">
      <c r="F13" s="30" t="s">
        <v>10</v>
      </c>
      <c r="G13" s="31">
        <f>G2/(hL_T(G3)-hL_T(G11))</f>
        <v>3.1865806061015897E-2</v>
      </c>
      <c r="H13" s="32" t="s">
        <v>11</v>
      </c>
      <c r="K13" s="3"/>
      <c r="M13" s="4"/>
    </row>
    <row r="14" spans="1:13" ht="16.5" customHeight="1" x14ac:dyDescent="0.25">
      <c r="D14" s="5"/>
      <c r="E14" s="5"/>
      <c r="G14" s="3"/>
    </row>
    <row r="15" spans="1:13" x14ac:dyDescent="0.25">
      <c r="A15" s="7" t="s">
        <v>12</v>
      </c>
      <c r="B15" s="7"/>
      <c r="C15" s="7"/>
      <c r="D15" s="7"/>
      <c r="E15" s="7"/>
      <c r="F15" s="7"/>
      <c r="G15" s="7"/>
      <c r="H15" s="2"/>
      <c r="J15" s="6"/>
      <c r="K15" s="6"/>
    </row>
    <row r="16" spans="1:13" ht="15" customHeight="1" x14ac:dyDescent="0.25">
      <c r="A16" s="8" t="s">
        <v>13</v>
      </c>
      <c r="B16" s="8"/>
      <c r="C16" s="8"/>
      <c r="D16" s="8"/>
      <c r="E16" s="8"/>
      <c r="F16" s="8"/>
      <c r="G16" s="8"/>
    </row>
    <row r="17" spans="6:8" ht="15" customHeight="1" x14ac:dyDescent="0.25"/>
    <row r="19" spans="6:8" x14ac:dyDescent="0.25">
      <c r="H19" s="2"/>
    </row>
    <row r="20" spans="6:8" x14ac:dyDescent="0.25">
      <c r="F20" s="2"/>
      <c r="G20" s="2"/>
      <c r="H20" s="2"/>
    </row>
    <row r="21" spans="6:8" x14ac:dyDescent="0.25">
      <c r="F21" s="2"/>
      <c r="G21" s="2"/>
      <c r="H21" s="2"/>
    </row>
    <row r="22" spans="6:8" x14ac:dyDescent="0.25">
      <c r="F22" s="2"/>
      <c r="G22" s="2"/>
      <c r="H22" s="2"/>
    </row>
    <row r="23" spans="6:8" x14ac:dyDescent="0.25">
      <c r="F23" s="2"/>
      <c r="G23" s="2"/>
      <c r="H23" s="2"/>
    </row>
    <row r="24" spans="6:8" x14ac:dyDescent="0.25">
      <c r="F24" s="2"/>
      <c r="G24" s="2"/>
      <c r="H24" s="2"/>
    </row>
    <row r="25" spans="6:8" x14ac:dyDescent="0.25">
      <c r="F25" s="2"/>
      <c r="G25" s="2"/>
      <c r="H25" s="2"/>
    </row>
    <row r="26" spans="6:8" x14ac:dyDescent="0.25">
      <c r="F26" s="2"/>
      <c r="G26" s="2"/>
      <c r="H26" s="2"/>
    </row>
    <row r="27" spans="6:8" x14ac:dyDescent="0.25">
      <c r="F27" s="2"/>
      <c r="G27" s="2"/>
      <c r="H27" s="2"/>
    </row>
    <row r="28" spans="6:8" x14ac:dyDescent="0.25">
      <c r="F28" s="2"/>
      <c r="G28" s="2"/>
      <c r="H28" s="2"/>
    </row>
    <row r="29" spans="6:8" x14ac:dyDescent="0.25">
      <c r="F29" s="2"/>
      <c r="G29" s="2"/>
      <c r="H29" s="2"/>
    </row>
    <row r="30" spans="6:8" x14ac:dyDescent="0.25">
      <c r="F30" s="2"/>
      <c r="G30" s="2"/>
      <c r="H30" s="2"/>
    </row>
    <row r="31" spans="6:8" x14ac:dyDescent="0.25">
      <c r="F31" s="2"/>
      <c r="G31" s="2"/>
      <c r="H31" s="2"/>
    </row>
    <row r="32" spans="6:8" x14ac:dyDescent="0.25">
      <c r="F32" s="2"/>
      <c r="G32" s="2"/>
      <c r="H32" s="2"/>
    </row>
    <row r="33" spans="6:8" x14ac:dyDescent="0.25">
      <c r="F33" s="2"/>
      <c r="G33" s="2"/>
      <c r="H33" s="2"/>
    </row>
    <row r="34" spans="6:8" x14ac:dyDescent="0.25">
      <c r="F34" s="2"/>
      <c r="G34" s="2"/>
      <c r="H34" s="2"/>
    </row>
    <row r="35" spans="6:8" x14ac:dyDescent="0.25">
      <c r="F35" s="2"/>
      <c r="G35" s="2"/>
      <c r="H35" s="2"/>
    </row>
    <row r="36" spans="6:8" x14ac:dyDescent="0.25">
      <c r="F36" s="2"/>
      <c r="G36" s="2"/>
      <c r="H36" s="2"/>
    </row>
    <row r="37" spans="6:8" x14ac:dyDescent="0.25">
      <c r="F37" s="2"/>
      <c r="G37" s="2"/>
      <c r="H37" s="2"/>
    </row>
    <row r="38" spans="6:8" x14ac:dyDescent="0.25">
      <c r="F38" s="2"/>
      <c r="G38" s="2"/>
      <c r="H38" s="2"/>
    </row>
    <row r="39" spans="6:8" x14ac:dyDescent="0.25">
      <c r="F39" s="2"/>
      <c r="G39" s="2"/>
      <c r="H39" s="2"/>
    </row>
    <row r="40" spans="6:8" x14ac:dyDescent="0.25">
      <c r="F40" s="2"/>
      <c r="G40" s="2"/>
      <c r="H40" s="2"/>
    </row>
    <row r="41" spans="6:8" x14ac:dyDescent="0.25">
      <c r="F41" s="2"/>
      <c r="G41" s="2"/>
      <c r="H41" s="2"/>
    </row>
    <row r="42" spans="6:8" x14ac:dyDescent="0.25">
      <c r="F42" s="2"/>
      <c r="G42" s="2"/>
      <c r="H42" s="2"/>
    </row>
    <row r="43" spans="6:8" x14ac:dyDescent="0.25">
      <c r="F43" s="2"/>
      <c r="G43" s="2"/>
      <c r="H43" s="2"/>
    </row>
    <row r="44" spans="6:8" x14ac:dyDescent="0.25">
      <c r="F44" s="2"/>
      <c r="G44" s="2"/>
      <c r="H44" s="2"/>
    </row>
    <row r="45" spans="6:8" x14ac:dyDescent="0.25">
      <c r="F45" s="2"/>
      <c r="G45" s="2"/>
      <c r="H45" s="2"/>
    </row>
    <row r="46" spans="6:8" x14ac:dyDescent="0.25">
      <c r="F46" s="2"/>
      <c r="G46" s="2"/>
      <c r="H46" s="2"/>
    </row>
    <row r="47" spans="6:8" x14ac:dyDescent="0.25">
      <c r="F47" s="2"/>
      <c r="G47" s="2"/>
      <c r="H47" s="2"/>
    </row>
    <row r="48" spans="6:8" x14ac:dyDescent="0.25">
      <c r="F48" s="2"/>
      <c r="G48" s="2"/>
      <c r="H48" s="2"/>
    </row>
    <row r="49" spans="6:8" x14ac:dyDescent="0.25">
      <c r="F49" s="2"/>
      <c r="G49" s="2"/>
      <c r="H49" s="2"/>
    </row>
    <row r="50" spans="6:8" x14ac:dyDescent="0.25">
      <c r="F50" s="2"/>
      <c r="G50" s="2"/>
      <c r="H50" s="2"/>
    </row>
    <row r="51" spans="6:8" x14ac:dyDescent="0.25">
      <c r="F51" s="2"/>
      <c r="G51" s="2"/>
      <c r="H51" s="2"/>
    </row>
    <row r="52" spans="6:8" x14ac:dyDescent="0.25">
      <c r="F52" s="2"/>
      <c r="G52" s="2"/>
      <c r="H52" s="2"/>
    </row>
    <row r="53" spans="6:8" x14ac:dyDescent="0.25">
      <c r="F53" s="2"/>
      <c r="G53" s="2"/>
      <c r="H53" s="2"/>
    </row>
    <row r="54" spans="6:8" x14ac:dyDescent="0.25">
      <c r="F54" s="2"/>
      <c r="G54" s="2"/>
      <c r="H54" s="2"/>
    </row>
    <row r="55" spans="6:8" x14ac:dyDescent="0.25">
      <c r="F55" s="2"/>
      <c r="G55" s="2"/>
      <c r="H55" s="2"/>
    </row>
    <row r="56" spans="6:8" x14ac:dyDescent="0.25">
      <c r="F56" s="2"/>
      <c r="G56" s="2"/>
      <c r="H56" s="2"/>
    </row>
    <row r="57" spans="6:8" x14ac:dyDescent="0.25">
      <c r="F57" s="2"/>
      <c r="G57" s="2"/>
      <c r="H57" s="2"/>
    </row>
    <row r="58" spans="6:8" x14ac:dyDescent="0.25">
      <c r="F58" s="2"/>
      <c r="G58" s="2"/>
      <c r="H58" s="2"/>
    </row>
    <row r="59" spans="6:8" x14ac:dyDescent="0.25">
      <c r="F59" s="2"/>
      <c r="G59" s="2"/>
      <c r="H59" s="2"/>
    </row>
  </sheetData>
  <mergeCells count="6">
    <mergeCell ref="A16:G16"/>
    <mergeCell ref="A15:G15"/>
    <mergeCell ref="B8:D8"/>
    <mergeCell ref="F8:H8"/>
    <mergeCell ref="B1:D1"/>
    <mergeCell ref="F1:H1"/>
  </mergeCells>
  <hyperlinks>
    <hyperlink ref="A16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Performance of Radiator</vt:lpstr>
    </vt:vector>
  </TitlesOfParts>
  <Company>TU/e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Tol, H.I.</dc:creator>
  <cp:lastModifiedBy>WorldsInWorld</cp:lastModifiedBy>
  <dcterms:created xsi:type="dcterms:W3CDTF">2019-01-10T12:02:38Z</dcterms:created>
  <dcterms:modified xsi:type="dcterms:W3CDTF">2019-01-19T17:20:33Z</dcterms:modified>
</cp:coreProperties>
</file>